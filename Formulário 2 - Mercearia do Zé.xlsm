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15ce4e28da4f432/Documentos/Marcos JR/Cursos/Udemy/Excel Pleno ^M Power BI/Seção 9 - Formulário ^M Macros/"/>
    </mc:Choice>
  </mc:AlternateContent>
  <xr:revisionPtr revIDLastSave="883" documentId="8_{ADCCC833-3DC0-4A67-8220-DFCEB75AC7C2}" xr6:coauthVersionLast="47" xr6:coauthVersionMax="47" xr10:uidLastSave="{CD0DF397-B933-43C8-AA4B-DE3F3FEE9E20}"/>
  <bookViews>
    <workbookView xWindow="-120" yWindow="-120" windowWidth="29040" windowHeight="15720" xr2:uid="{DD4AE175-9360-4307-B9BA-A6ABE6E74206}"/>
  </bookViews>
  <sheets>
    <sheet name="Formulário" sheetId="2" r:id="rId1"/>
    <sheet name="Base de Dados" sheetId="1" r:id="rId2"/>
    <sheet name="Cadastro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2" i="2" l="1" a="1"/>
  <c r="D12" i="2" a="1"/>
  <c r="G12" i="2" a="1"/>
  <c r="J4" i="3"/>
  <c r="H4" i="3"/>
  <c r="B4" i="3"/>
  <c r="J12" i="2"/>
  <c r="G22" i="2" l="1"/>
  <c r="D12" i="2"/>
  <c r="G12" i="2"/>
  <c r="E4" i="3"/>
  <c r="K4" i="3" l="1"/>
  <c r="C4" i="3"/>
  <c r="D4" i="3"/>
  <c r="G18" i="2"/>
  <c r="G4" i="3" s="1"/>
  <c r="D18" i="2"/>
  <c r="F4" i="3" s="1"/>
  <c r="G20" i="2" l="1"/>
  <c r="I4" i="3" s="1"/>
  <c r="D22" i="2" l="1"/>
  <c r="J22" i="2" s="1"/>
  <c r="L4" i="3" s="1"/>
  <c r="G24" i="2" l="1"/>
  <c r="M4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<sst xmlns="http://schemas.openxmlformats.org/spreadsheetml/2006/main" count="88" uniqueCount="67">
  <si>
    <t>Controle</t>
  </si>
  <si>
    <t>Leandro</t>
  </si>
  <si>
    <t>Alberto</t>
  </si>
  <si>
    <t>Carlos</t>
  </si>
  <si>
    <t>Juraci</t>
  </si>
  <si>
    <t>Simoni</t>
  </si>
  <si>
    <t>Carlitos</t>
  </si>
  <si>
    <t>Renato Chaves</t>
  </si>
  <si>
    <t>Fábiola</t>
  </si>
  <si>
    <t>Higiene Oral</t>
  </si>
  <si>
    <t>Creme Dental Oral - B</t>
  </si>
  <si>
    <t>Enxaguante Bucal</t>
  </si>
  <si>
    <t>Molhos, Temperos e Condimentos</t>
  </si>
  <si>
    <t>Ketchup</t>
  </si>
  <si>
    <t>Maionese</t>
  </si>
  <si>
    <t>Mostarda</t>
  </si>
  <si>
    <t>Vinagre</t>
  </si>
  <si>
    <t>Molho para salada</t>
  </si>
  <si>
    <t>Molho Pesto</t>
  </si>
  <si>
    <t>Escova Dental</t>
  </si>
  <si>
    <t>Registro de Vendas</t>
  </si>
  <si>
    <t>Totalizações</t>
  </si>
  <si>
    <t>Cliente:</t>
  </si>
  <si>
    <t>Produto 1</t>
  </si>
  <si>
    <t>Produto 2</t>
  </si>
  <si>
    <t>Produto 3</t>
  </si>
  <si>
    <t>Entrada</t>
  </si>
  <si>
    <t>Saldo</t>
  </si>
  <si>
    <t>Parcela</t>
  </si>
  <si>
    <t>Parcela s/Juros</t>
  </si>
  <si>
    <t>Juros</t>
  </si>
  <si>
    <t>Parcela+Juros</t>
  </si>
  <si>
    <t>Valor Final</t>
  </si>
  <si>
    <t>À Vista</t>
  </si>
  <si>
    <t>Quantidade</t>
  </si>
  <si>
    <t>Prazo</t>
  </si>
  <si>
    <t>Valor</t>
  </si>
  <si>
    <t>Cliente</t>
  </si>
  <si>
    <t>Parcela + Juros</t>
  </si>
  <si>
    <t>Charles Copeland</t>
  </si>
  <si>
    <t>Qtd. de parcelas</t>
  </si>
  <si>
    <t>Produtos da Mercearia do Zé</t>
  </si>
  <si>
    <t>Leites e Derivados</t>
  </si>
  <si>
    <t>Leite Integral Parmalat</t>
  </si>
  <si>
    <t>Leite em Pó Ninho</t>
  </si>
  <si>
    <t>Iorgute Natural (1 Litro)</t>
  </si>
  <si>
    <t>Paula Santana</t>
  </si>
  <si>
    <t>Gabriela Rocha</t>
  </si>
  <si>
    <t>Fernandinho</t>
  </si>
  <si>
    <t>Buiu da Esquina</t>
  </si>
  <si>
    <t>Sr. Ivaldo</t>
  </si>
  <si>
    <t>Alex Pedreiro</t>
  </si>
  <si>
    <t>Jade Souza</t>
  </si>
  <si>
    <t>Luiz Augusto</t>
  </si>
  <si>
    <t>Carlos Alberto</t>
  </si>
  <si>
    <t>Apolo Verona</t>
  </si>
  <si>
    <t>Dom Castanhari</t>
  </si>
  <si>
    <t>Zion Valente</t>
  </si>
  <si>
    <t>Thael Montoro</t>
  </si>
  <si>
    <t>Galeno Sartori</t>
  </si>
  <si>
    <t>Icaro Paschoal</t>
  </si>
  <si>
    <t>Amira Sampaio</t>
  </si>
  <si>
    <t>Kiara Gondim</t>
  </si>
  <si>
    <t>Melinda Diniz</t>
  </si>
  <si>
    <t>Marieta Lins</t>
  </si>
  <si>
    <t>Dona Antonieta</t>
  </si>
  <si>
    <t>Clientes do Zé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</si>
</sst>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Aptos Narrow"/>
      <family val="2"/>
    </font>
    <font>
      <b/>
      <sz val="16"/>
      <color theme="0"/>
      <name val="Aptos Narrow"/>
      <family val="2"/>
    </font>
    <font>
      <b/>
      <sz val="11"/>
      <color theme="1"/>
      <name val="Aptos Narrow"/>
      <family val="2"/>
    </font>
    <font>
      <sz val="11"/>
      <name val="Aptos Narrow"/>
      <family val="2"/>
    </font>
    <font>
      <sz val="12"/>
      <color theme="0"/>
      <name val="Aptos Narrow"/>
      <family val="2"/>
    </font>
    <font>
      <b/>
      <sz val="14"/>
      <color theme="0"/>
      <name val="Aptos Narrow"/>
      <family val="2"/>
    </font>
    <font>
      <sz val="11"/>
      <color theme="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E9EDF7"/>
        <bgColor indexed="64"/>
      </patternFill>
    </fill>
    <fill>
      <patternFill patternType="solid">
        <fgColor rgb="FF0070C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ck">
        <color theme="4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4"/>
      </left>
      <right/>
      <top/>
      <bottom/>
      <diagonal/>
    </border>
    <border>
      <left/>
      <right style="thick">
        <color theme="4"/>
      </right>
      <top/>
      <bottom/>
      <diagonal/>
    </border>
    <border>
      <left style="thick">
        <color theme="4"/>
      </left>
      <right/>
      <top/>
      <bottom style="thick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thick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thick">
        <color theme="3"/>
      </left>
      <right/>
      <top style="thick">
        <color theme="3"/>
      </top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3" fillId="0" borderId="0" xfId="0" applyFont="1"/>
    <xf numFmtId="0" fontId="5" fillId="3" borderId="10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3" borderId="6" xfId="0" applyFont="1" applyFill="1" applyBorder="1"/>
    <xf numFmtId="0" fontId="3" fillId="3" borderId="5" xfId="0" applyFont="1" applyFill="1" applyBorder="1"/>
    <xf numFmtId="164" fontId="3" fillId="0" borderId="11" xfId="0" applyNumberFormat="1" applyFont="1" applyBorder="1"/>
    <xf numFmtId="0" fontId="3" fillId="3" borderId="7" xfId="0" applyFont="1" applyFill="1" applyBorder="1"/>
    <xf numFmtId="0" fontId="3" fillId="3" borderId="1" xfId="0" applyFont="1" applyFill="1" applyBorder="1"/>
    <xf numFmtId="0" fontId="3" fillId="3" borderId="8" xfId="0" applyFont="1" applyFill="1" applyBorder="1"/>
    <xf numFmtId="0" fontId="3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3" fillId="3" borderId="0" xfId="0" applyFont="1" applyFill="1"/>
    <xf numFmtId="0" fontId="5" fillId="3" borderId="0" xfId="0" applyFont="1" applyFill="1" applyAlignment="1">
      <alignment horizontal="center"/>
    </xf>
    <xf numFmtId="0" fontId="5" fillId="3" borderId="0" xfId="0" applyFont="1" applyFill="1"/>
    <xf numFmtId="0" fontId="3" fillId="3" borderId="0" xfId="0" applyFont="1" applyFill="1" applyAlignment="1">
      <alignment horizontal="center"/>
    </xf>
    <xf numFmtId="0" fontId="3" fillId="0" borderId="3" xfId="0" applyFont="1" applyBorder="1"/>
    <xf numFmtId="0" fontId="3" fillId="0" borderId="11" xfId="0" applyFont="1" applyBorder="1" applyAlignment="1">
      <alignment horizontal="center"/>
    </xf>
    <xf numFmtId="164" fontId="3" fillId="0" borderId="11" xfId="2" applyNumberFormat="1" applyFont="1" applyBorder="1" applyAlignment="1">
      <alignment horizontal="center"/>
    </xf>
    <xf numFmtId="44" fontId="3" fillId="0" borderId="11" xfId="0" applyNumberFormat="1" applyFont="1" applyBorder="1" applyAlignment="1">
      <alignment horizontal="center"/>
    </xf>
    <xf numFmtId="10" fontId="3" fillId="0" borderId="11" xfId="0" applyNumberFormat="1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44" fontId="3" fillId="0" borderId="0" xfId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4" fontId="3" fillId="0" borderId="0" xfId="0" applyNumberFormat="1" applyFont="1" applyAlignment="1">
      <alignment horizontal="center"/>
    </xf>
    <xf numFmtId="10" fontId="3" fillId="0" borderId="0" xfId="0" applyNumberFormat="1" applyFont="1" applyAlignment="1">
      <alignment horizontal="center"/>
    </xf>
    <xf numFmtId="0" fontId="8" fillId="4" borderId="0" xfId="0" applyFont="1" applyFill="1" applyAlignment="1">
      <alignment vertical="center"/>
    </xf>
    <xf numFmtId="0" fontId="9" fillId="4" borderId="0" xfId="0" applyFont="1" applyFill="1"/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ptos Narrow"/>
        <family val="2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ptos Narrow"/>
        <family val="2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4" formatCode="0.00%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ptos Narrow"/>
        <family val="2"/>
        <scheme val="none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ptos Narrow"/>
        <family val="2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ptos Narrow"/>
        <family val="2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ptos Narrow"/>
        <family val="2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ptos Narrow"/>
        <family val="2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ptos Narrow"/>
        <family val="2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ptos Narrow"/>
        <family val="2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ptos Narrow"/>
        <family val="2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E9EDF7"/>
      <color rgb="FFD5F4FF"/>
      <color rgb="FFC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Radio" firstButton="1" fmlaLink="'Base de Dados'!$D$23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firstButton="1" fmlaLink="'Base de Dados'!$D$4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firstButton="1" fmlaLink="'Base de Dados'!$D$9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CheckBox" fmlaLink="'Base de Dados'!$D$14" lockText="1" noThreeD="1"/>
</file>

<file path=xl/ctrlProps/ctrlProp14.xml><?xml version="1.0" encoding="utf-8"?>
<formControlPr xmlns="http://schemas.microsoft.com/office/spreadsheetml/2009/9/main" objectType="CheckBox" fmlaLink="'Base de Dados'!$D$15" lockText="1" noThreeD="1"/>
</file>

<file path=xl/ctrlProps/ctrlProp15.xml><?xml version="1.0" encoding="utf-8"?>
<formControlPr xmlns="http://schemas.microsoft.com/office/spreadsheetml/2009/9/main" objectType="CheckBox" fmlaLink="'Base de Dados'!$D$17" lockText="1" noThreeD="1"/>
</file>

<file path=xl/ctrlProps/ctrlProp16.xml><?xml version="1.0" encoding="utf-8"?>
<formControlPr xmlns="http://schemas.microsoft.com/office/spreadsheetml/2009/9/main" objectType="CheckBox" fmlaLink="'Base de Dados'!$D$16" lockText="1" noThreeD="1"/>
</file>

<file path=xl/ctrlProps/ctrlProp17.xml><?xml version="1.0" encoding="utf-8"?>
<formControlPr xmlns="http://schemas.microsoft.com/office/spreadsheetml/2009/9/main" objectType="CheckBox" fmlaLink="'Base de Dados'!$D$18" lockText="1" noThreeD="1"/>
</file>

<file path=xl/ctrlProps/ctrlProp18.xml><?xml version="1.0" encoding="utf-8"?>
<formControlPr xmlns="http://schemas.microsoft.com/office/spreadsheetml/2009/9/main" objectType="CheckBox" fmlaLink="'Base de Dados'!$D$19" lockText="1" noThreeD="1"/>
</file>

<file path=xl/ctrlProps/ctrlProp19.xml><?xml version="1.0" encoding="utf-8"?>
<formControlPr xmlns="http://schemas.microsoft.com/office/spreadsheetml/2009/9/main" objectType="Spin" dx="22" fmlaLink="$D$14" max="30" min="1" page="10"/>
</file>

<file path=xl/ctrlProps/ctrlProp20.xml><?xml version="1.0" encoding="utf-8"?>
<formControlPr xmlns="http://schemas.microsoft.com/office/spreadsheetml/2009/9/main" objectType="Spin" dx="22" fmlaLink="$J$14" max="30" min="1" page="10"/>
</file>

<file path=xl/ctrlProps/ctrlProp21.xml><?xml version="1.0" encoding="utf-8"?>
<formControlPr xmlns="http://schemas.microsoft.com/office/spreadsheetml/2009/9/main" objectType="Spin" dx="22" fmlaLink="$G$14" max="30" min="1" page="1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adastro!A1"/><Relationship Id="rId2" Type="http://schemas.openxmlformats.org/officeDocument/2006/relationships/image" Target="../media/image2.jpg"/><Relationship Id="rId1" Type="http://schemas.openxmlformats.org/officeDocument/2006/relationships/hyperlink" Target="#Formul&#225;rio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Base de Dados'!A1"/><Relationship Id="rId1" Type="http://schemas.openxmlformats.org/officeDocument/2006/relationships/hyperlink" Target="#Formul&#225;rio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3</xdr:row>
          <xdr:rowOff>104775</xdr:rowOff>
        </xdr:from>
        <xdr:to>
          <xdr:col>3</xdr:col>
          <xdr:colOff>609600</xdr:colOff>
          <xdr:row>8</xdr:row>
          <xdr:rowOff>85725</xdr:rowOff>
        </xdr:to>
        <xdr:sp macro="" textlink="">
          <xdr:nvSpPr>
            <xdr:cNvPr id="2049" name="Group Box 1" descr="Higiene Ora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Higiene Oral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</xdr:row>
          <xdr:rowOff>104775</xdr:rowOff>
        </xdr:from>
        <xdr:to>
          <xdr:col>7</xdr:col>
          <xdr:colOff>9525</xdr:colOff>
          <xdr:row>8</xdr:row>
          <xdr:rowOff>85725</xdr:rowOff>
        </xdr:to>
        <xdr:sp macro="" textlink="">
          <xdr:nvSpPr>
            <xdr:cNvPr id="2052" name="Group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Leites e Derivados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3</xdr:row>
          <xdr:rowOff>95250</xdr:rowOff>
        </xdr:from>
        <xdr:to>
          <xdr:col>10</xdr:col>
          <xdr:colOff>676275</xdr:colOff>
          <xdr:row>8</xdr:row>
          <xdr:rowOff>76200</xdr:rowOff>
        </xdr:to>
        <xdr:sp macro="" textlink="">
          <xdr:nvSpPr>
            <xdr:cNvPr id="2053" name="Group Box 5" descr="Produtos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Molhos, Temperos e Condimentos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15</xdr:row>
          <xdr:rowOff>104775</xdr:rowOff>
        </xdr:from>
        <xdr:to>
          <xdr:col>10</xdr:col>
          <xdr:colOff>581025</xdr:colOff>
          <xdr:row>25</xdr:row>
          <xdr:rowOff>66675</xdr:rowOff>
        </xdr:to>
        <xdr:sp macro="" textlink="">
          <xdr:nvSpPr>
            <xdr:cNvPr id="2054" name="Group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Formas de pagamento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17</xdr:row>
          <xdr:rowOff>0</xdr:rowOff>
        </xdr:from>
        <xdr:to>
          <xdr:col>2</xdr:col>
          <xdr:colOff>885825</xdr:colOff>
          <xdr:row>18</xdr:row>
          <xdr:rowOff>19050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Vista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16</xdr:row>
          <xdr:rowOff>180975</xdr:rowOff>
        </xdr:from>
        <xdr:to>
          <xdr:col>5</xdr:col>
          <xdr:colOff>904875</xdr:colOff>
          <xdr:row>18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Prazo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4</xdr:row>
          <xdr:rowOff>66675</xdr:rowOff>
        </xdr:from>
        <xdr:to>
          <xdr:col>2</xdr:col>
          <xdr:colOff>952500</xdr:colOff>
          <xdr:row>5</xdr:row>
          <xdr:rowOff>66675</xdr:rowOff>
        </xdr:to>
        <xdr:sp macro="" textlink="">
          <xdr:nvSpPr>
            <xdr:cNvPr id="2064" name="Option 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Creme dental Oral -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5</xdr:row>
          <xdr:rowOff>95250</xdr:rowOff>
        </xdr:from>
        <xdr:to>
          <xdr:col>2</xdr:col>
          <xdr:colOff>609600</xdr:colOff>
          <xdr:row>6</xdr:row>
          <xdr:rowOff>123825</xdr:rowOff>
        </xdr:to>
        <xdr:sp macro="" textlink="">
          <xdr:nvSpPr>
            <xdr:cNvPr id="2065" name="Option 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Enxaguante Bucal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6</xdr:row>
          <xdr:rowOff>133350</xdr:rowOff>
        </xdr:from>
        <xdr:to>
          <xdr:col>2</xdr:col>
          <xdr:colOff>609600</xdr:colOff>
          <xdr:row>7</xdr:row>
          <xdr:rowOff>161925</xdr:rowOff>
        </xdr:to>
        <xdr:sp macro="" textlink="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Escova Dental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38100</xdr:rowOff>
        </xdr:from>
        <xdr:to>
          <xdr:col>6</xdr:col>
          <xdr:colOff>400050</xdr:colOff>
          <xdr:row>5</xdr:row>
          <xdr:rowOff>28575</xdr:rowOff>
        </xdr:to>
        <xdr:sp macro="" textlink="">
          <xdr:nvSpPr>
            <xdr:cNvPr id="2067" name="Option 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Leite Integral Parmalat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95250</xdr:rowOff>
        </xdr:from>
        <xdr:to>
          <xdr:col>5</xdr:col>
          <xdr:colOff>962025</xdr:colOff>
          <xdr:row>6</xdr:row>
          <xdr:rowOff>123825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Leite em Pó Ninho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180975</xdr:rowOff>
        </xdr:from>
        <xdr:to>
          <xdr:col>6</xdr:col>
          <xdr:colOff>57150</xdr:colOff>
          <xdr:row>7</xdr:row>
          <xdr:rowOff>161925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Iorgute Natural (1 Litro)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</xdr:row>
          <xdr:rowOff>180975</xdr:rowOff>
        </xdr:from>
        <xdr:to>
          <xdr:col>9</xdr:col>
          <xdr:colOff>152400</xdr:colOff>
          <xdr:row>5</xdr:row>
          <xdr:rowOff>38100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Ketchup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5</xdr:row>
          <xdr:rowOff>47625</xdr:rowOff>
        </xdr:from>
        <xdr:to>
          <xdr:col>9</xdr:col>
          <xdr:colOff>152400</xdr:colOff>
          <xdr:row>6</xdr:row>
          <xdr:rowOff>95250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Maionese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3</xdr:row>
          <xdr:rowOff>180975</xdr:rowOff>
        </xdr:from>
        <xdr:to>
          <xdr:col>10</xdr:col>
          <xdr:colOff>600075</xdr:colOff>
          <xdr:row>5</xdr:row>
          <xdr:rowOff>38100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Vinagre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6</xdr:row>
          <xdr:rowOff>85725</xdr:rowOff>
        </xdr:from>
        <xdr:to>
          <xdr:col>9</xdr:col>
          <xdr:colOff>152400</xdr:colOff>
          <xdr:row>7</xdr:row>
          <xdr:rowOff>133350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Mostarda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5</xdr:row>
          <xdr:rowOff>47625</xdr:rowOff>
        </xdr:from>
        <xdr:to>
          <xdr:col>10</xdr:col>
          <xdr:colOff>600075</xdr:colOff>
          <xdr:row>6</xdr:row>
          <xdr:rowOff>95250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Molho para salada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6</xdr:row>
          <xdr:rowOff>85725</xdr:rowOff>
        </xdr:from>
        <xdr:to>
          <xdr:col>10</xdr:col>
          <xdr:colOff>600075</xdr:colOff>
          <xdr:row>7</xdr:row>
          <xdr:rowOff>133350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Molho Pesto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12</xdr:row>
          <xdr:rowOff>190500</xdr:rowOff>
        </xdr:from>
        <xdr:to>
          <xdr:col>4</xdr:col>
          <xdr:colOff>352425</xdr:colOff>
          <xdr:row>14</xdr:row>
          <xdr:rowOff>19050</xdr:rowOff>
        </xdr:to>
        <xdr:sp macro="" textlink="">
          <xdr:nvSpPr>
            <xdr:cNvPr id="2078" name="Spinner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12</xdr:row>
          <xdr:rowOff>171450</xdr:rowOff>
        </xdr:from>
        <xdr:to>
          <xdr:col>10</xdr:col>
          <xdr:colOff>361950</xdr:colOff>
          <xdr:row>14</xdr:row>
          <xdr:rowOff>0</xdr:rowOff>
        </xdr:to>
        <xdr:sp macro="" textlink="">
          <xdr:nvSpPr>
            <xdr:cNvPr id="2079" name="Spinner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12</xdr:row>
          <xdr:rowOff>180975</xdr:rowOff>
        </xdr:from>
        <xdr:to>
          <xdr:col>7</xdr:col>
          <xdr:colOff>352425</xdr:colOff>
          <xdr:row>14</xdr:row>
          <xdr:rowOff>9525</xdr:rowOff>
        </xdr:to>
        <xdr:sp macro="" textlink="">
          <xdr:nvSpPr>
            <xdr:cNvPr id="2080" name="Spinner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790574</xdr:colOff>
      <xdr:row>23</xdr:row>
      <xdr:rowOff>0</xdr:rowOff>
    </xdr:from>
    <xdr:to>
      <xdr:col>10</xdr:col>
      <xdr:colOff>352425</xdr:colOff>
      <xdr:row>24</xdr:row>
      <xdr:rowOff>114300</xdr:rowOff>
    </xdr:to>
    <xdr:sp macro="[0]!Cadast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D755CC6-3A03-82ED-72AB-B78529B46950}"/>
            </a:ext>
          </a:extLst>
        </xdr:cNvPr>
        <xdr:cNvSpPr/>
      </xdr:nvSpPr>
      <xdr:spPr>
        <a:xfrm>
          <a:off x="7439024" y="5210175"/>
          <a:ext cx="1381126" cy="314325"/>
        </a:xfrm>
        <a:prstGeom prst="roundRect">
          <a:avLst/>
        </a:prstGeom>
        <a:solidFill>
          <a:srgbClr val="E9EDF7"/>
        </a:solidFill>
        <a:ln w="28575"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  <a:latin typeface="Aptos Narrow" panose="020B0004020202020204" pitchFamily="34" charset="0"/>
            </a:rPr>
            <a:t>CADASTRAR</a:t>
          </a:r>
        </a:p>
      </xdr:txBody>
    </xdr:sp>
    <xdr:clientData/>
  </xdr:twoCellAnchor>
  <xdr:twoCellAnchor editAs="oneCell">
    <xdr:from>
      <xdr:col>12</xdr:col>
      <xdr:colOff>371475</xdr:colOff>
      <xdr:row>2</xdr:row>
      <xdr:rowOff>123825</xdr:rowOff>
    </xdr:from>
    <xdr:to>
      <xdr:col>17</xdr:col>
      <xdr:colOff>185392</xdr:colOff>
      <xdr:row>21</xdr:row>
      <xdr:rowOff>104775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2E1DD655-1FE7-9DDD-3051-4FED82F32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345" t="-535" r="22443" b="4812"/>
        <a:stretch>
          <a:fillRect/>
        </a:stretch>
      </xdr:blipFill>
      <xdr:spPr>
        <a:xfrm>
          <a:off x="10525125" y="828675"/>
          <a:ext cx="4166842" cy="40100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828675</xdr:colOff>
      <xdr:row>0</xdr:row>
      <xdr:rowOff>85725</xdr:rowOff>
    </xdr:from>
    <xdr:to>
      <xdr:col>6</xdr:col>
      <xdr:colOff>533400</xdr:colOff>
      <xdr:row>0</xdr:row>
      <xdr:rowOff>333375</xdr:rowOff>
    </xdr:to>
    <xdr:sp macro="" textlink="">
      <xdr:nvSpPr>
        <xdr:cNvPr id="8" name="Retângulo: Cantos Arredondados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019BD8-65C6-441B-8BE0-483A76B861FF}"/>
            </a:ext>
          </a:extLst>
        </xdr:cNvPr>
        <xdr:cNvSpPr/>
      </xdr:nvSpPr>
      <xdr:spPr>
        <a:xfrm>
          <a:off x="7181850" y="85725"/>
          <a:ext cx="1114425" cy="247650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ptos Narrow" panose="020B0004020202020204" pitchFamily="34" charset="0"/>
            </a:rPr>
            <a:t>FORMULÁRIO</a:t>
          </a:r>
        </a:p>
      </xdr:txBody>
    </xdr:sp>
    <xdr:clientData/>
  </xdr:twoCellAnchor>
  <xdr:twoCellAnchor editAs="oneCell">
    <xdr:from>
      <xdr:col>4</xdr:col>
      <xdr:colOff>561974</xdr:colOff>
      <xdr:row>3</xdr:row>
      <xdr:rowOff>133351</xdr:rowOff>
    </xdr:from>
    <xdr:to>
      <xdr:col>11</xdr:col>
      <xdr:colOff>267141</xdr:colOff>
      <xdr:row>18</xdr:row>
      <xdr:rowOff>180975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C8414EC8-1F71-132E-7F72-6F8B5826B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5024" y="914401"/>
          <a:ext cx="5162992" cy="290512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7</xdr:col>
      <xdr:colOff>95251</xdr:colOff>
      <xdr:row>0</xdr:row>
      <xdr:rowOff>85725</xdr:rowOff>
    </xdr:from>
    <xdr:to>
      <xdr:col>8</xdr:col>
      <xdr:colOff>590551</xdr:colOff>
      <xdr:row>0</xdr:row>
      <xdr:rowOff>333375</xdr:rowOff>
    </xdr:to>
    <xdr:sp macro="" textlink="">
      <xdr:nvSpPr>
        <xdr:cNvPr id="13" name="Retângulo: Cantos Arredondados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A43AF8-5DBC-47BF-AF77-FEDD0C48A220}"/>
            </a:ext>
          </a:extLst>
        </xdr:cNvPr>
        <xdr:cNvSpPr/>
      </xdr:nvSpPr>
      <xdr:spPr>
        <a:xfrm>
          <a:off x="8467726" y="85725"/>
          <a:ext cx="1104900" cy="247650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ptos Narrow" panose="020B0004020202020204" pitchFamily="34" charset="0"/>
            </a:rPr>
            <a:t>CADASTRO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666749</xdr:colOff>
      <xdr:row>0</xdr:row>
      <xdr:rowOff>85725</xdr:rowOff>
    </xdr:from>
    <xdr:to>
      <xdr:col>7</xdr:col>
      <xdr:colOff>647699</xdr:colOff>
      <xdr:row>0</xdr:row>
      <xdr:rowOff>333375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D4B300-8BED-F5AC-7924-0B72A6A421F3}"/>
            </a:ext>
          </a:extLst>
        </xdr:cNvPr>
        <xdr:cNvSpPr/>
      </xdr:nvSpPr>
      <xdr:spPr>
        <a:xfrm>
          <a:off x="6600824" y="85725"/>
          <a:ext cx="1114425" cy="247650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ptos Narrow" panose="020B0004020202020204" pitchFamily="34" charset="0"/>
            </a:rPr>
            <a:t>FORMULÁRIO</a:t>
          </a:r>
        </a:p>
      </xdr:txBody>
    </xdr:sp>
    <xdr:clientData/>
  </xdr:twoCellAnchor>
  <xdr:twoCellAnchor>
    <xdr:from>
      <xdr:col>7</xdr:col>
      <xdr:colOff>790575</xdr:colOff>
      <xdr:row>0</xdr:row>
      <xdr:rowOff>85725</xdr:rowOff>
    </xdr:from>
    <xdr:to>
      <xdr:col>8</xdr:col>
      <xdr:colOff>904875</xdr:colOff>
      <xdr:row>0</xdr:row>
      <xdr:rowOff>333375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9FE7551-B325-465A-8B13-BF95C4BCEFA8}"/>
            </a:ext>
          </a:extLst>
        </xdr:cNvPr>
        <xdr:cNvSpPr/>
      </xdr:nvSpPr>
      <xdr:spPr>
        <a:xfrm>
          <a:off x="7858125" y="85725"/>
          <a:ext cx="1247775" cy="247650"/>
        </a:xfrm>
        <a:prstGeom prst="roundRect">
          <a:avLst/>
        </a:prstGeom>
        <a:noFill/>
        <a:ln w="19050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ptos Narrow" panose="020B0004020202020204" pitchFamily="34" charset="0"/>
            </a:rPr>
            <a:t>BASE</a:t>
          </a:r>
          <a:r>
            <a:rPr lang="pt-BR" sz="1100" b="1" baseline="0">
              <a:latin typeface="Aptos Narrow" panose="020B0004020202020204" pitchFamily="34" charset="0"/>
            </a:rPr>
            <a:t> DE DADOS</a:t>
          </a:r>
          <a:endParaRPr lang="pt-BR" sz="1100" b="1">
            <a:latin typeface="Aptos Narrow" panose="020B00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5E816F-C7D5-4340-B093-4F3D0CECDAFE}" name="Tabela1" displayName="Tabela1" ref="B3:D6" totalsRowShown="0" headerRowDxfId="40">
  <autoFilter ref="B3:D6" xr:uid="{3E5E816F-C7D5-4340-B093-4F3D0CECDAFE}"/>
  <tableColumns count="3">
    <tableColumn id="1" xr3:uid="{87C383CF-3E58-4FC2-A946-D04F6B225F9B}" name="Higiene Oral" dataDxfId="39"/>
    <tableColumn id="2" xr3:uid="{2D6F6372-08D3-425A-B036-4D896170FC07}" name="Valor" dataDxfId="38" dataCellStyle="Moeda"/>
    <tableColumn id="3" xr3:uid="{F2393A98-7308-4D2F-B73B-B1FAFD50E2D8}" name="Controle" dataDxfId="37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9F4905-AE39-4973-8A75-1BFEF1E4D9C0}" name="Tabela2" displayName="Tabela2" ref="B8:D11" totalsRowShown="0" headerRowDxfId="36">
  <autoFilter ref="B8:D11" xr:uid="{619F4905-AE39-4973-8A75-1BFEF1E4D9C0}"/>
  <tableColumns count="3">
    <tableColumn id="1" xr3:uid="{F759D0E1-A857-41BC-BC15-9546493178B1}" name="Leites e Derivados" dataDxfId="35"/>
    <tableColumn id="2" xr3:uid="{E34C5923-50B4-43F4-9C39-7F436A59C6BD}" name="Valor" dataDxfId="34" dataCellStyle="Moeda"/>
    <tableColumn id="3" xr3:uid="{D8E3EEB8-F3DF-4D4D-8B1E-C95502C98023}" name="Controle" dataDxfId="33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E24F00D-9771-4996-B441-77ADB8F16A78}" name="Tabela3" displayName="Tabela3" ref="B13:D19" totalsRowShown="0" headerRowDxfId="32">
  <autoFilter ref="B13:D19" xr:uid="{5E24F00D-9771-4996-B441-77ADB8F16A78}"/>
  <tableColumns count="3">
    <tableColumn id="1" xr3:uid="{3440F708-2FC9-413B-81B6-8FD44FF93EF3}" name="Molhos, Temperos e Condimentos" dataDxfId="31"/>
    <tableColumn id="2" xr3:uid="{2270BC5A-C73A-4A4B-914B-0E77E7902C23}" name="Valor" dataDxfId="30" dataCellStyle="Moeda"/>
    <tableColumn id="3" xr3:uid="{7FFD5544-EA4E-4329-B468-067AA9C6D03C}" name="Controle" dataDxfId="29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10F971-9FF8-47EF-BF91-128E591E1237}" name="Tabela4" displayName="Tabela4" ref="M3:M32" totalsRowShown="0" headerRowDxfId="28" dataDxfId="27">
  <autoFilter ref="M3:M32" xr:uid="{C110F971-9FF8-47EF-BF91-128E591E1237}">
    <filterColumn colId="0" hiddenButton="1"/>
  </autoFilter>
  <tableColumns count="1">
    <tableColumn id="1" xr3:uid="{AA8AB6A9-4C79-4D35-B0E1-1BAC143B0C6D}" name="Clientes do Zé" dataDxfId="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E664D14-BB46-4B0B-A743-D2ED6691A991}" name="Tabela5" displayName="Tabela5" ref="B3:M9" totalsRowShown="0" headerRowDxfId="25" dataDxfId="24">
  <autoFilter ref="B3:M9" xr:uid="{FE664D14-BB46-4B0B-A743-D2ED6691A991}"/>
  <tableColumns count="12">
    <tableColumn id="1" xr3:uid="{A68A49A1-C8FC-44B3-B267-FF91FDE561A8}" name="Cliente" dataDxfId="23" totalsRowDxfId="22"/>
    <tableColumn id="2" xr3:uid="{7536EB33-96AD-4C81-AC26-455AA3D818C8}" name="Produto 1" dataDxfId="21" totalsRowDxfId="20"/>
    <tableColumn id="3" xr3:uid="{E302F272-ADF6-4E7D-AC78-4E73BCD9ECD3}" name="Produto 2" dataDxfId="19" totalsRowDxfId="18"/>
    <tableColumn id="4" xr3:uid="{F07C0092-AC98-4561-93AD-D90927CE5A87}" name="Produto 3" dataDxfId="17" totalsRowDxfId="16"/>
    <tableColumn id="5" xr3:uid="{DE384FF6-90EF-4107-A3E6-18965483BD26}" name="À Vista" dataDxfId="15" totalsRowDxfId="14"/>
    <tableColumn id="6" xr3:uid="{33A24EAD-C8A2-4938-BF4E-9DD0AE28A01E}" name="Prazo" dataDxfId="13" totalsRowDxfId="12"/>
    <tableColumn id="7" xr3:uid="{269C6581-1558-4FD6-88EB-76E9B620CCC3}" name="Entrada" dataDxfId="11" totalsRowDxfId="10"/>
    <tableColumn id="8" xr3:uid="{F40211BD-F7AF-4346-B452-A504FDCB2EEC}" name="Saldo" dataDxfId="9" totalsRowDxfId="8"/>
    <tableColumn id="9" xr3:uid="{25FF3ED3-2788-481D-AB18-239265D9A54E}" name="Qtd. de parcelas" dataDxfId="7" totalsRowDxfId="6"/>
    <tableColumn id="10" xr3:uid="{41F0EABA-3AA4-420D-ABD0-98161AD2A689}" name="Juros" dataDxfId="5" totalsRowDxfId="4"/>
    <tableColumn id="11" xr3:uid="{A0814012-9BBE-4FFA-927E-248A89193ACA}" name="Parcela + Juros" dataDxfId="3" totalsRowDxfId="2"/>
    <tableColumn id="12" xr3:uid="{23CF362D-B90C-4CC3-8380-CF083BB01D76}" name="Valor Final" dataDxfId="1" totalsRow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71C80-37CD-456A-9157-3D32426C0604}">
  <sheetPr codeName="Planilha1"/>
  <dimension ref="B1:R27"/>
  <sheetViews>
    <sheetView showGridLines="0" tabSelected="1" workbookViewId="0">
      <selection activeCell="W9" sqref="W9"/>
    </sheetView>
  </sheetViews>
  <sheetFormatPr defaultRowHeight="15" x14ac:dyDescent="0.25"/>
  <cols>
    <col min="1" max="1" width="10.28515625" style="1" customWidth="1"/>
    <col min="2" max="2" width="12.85546875" style="1" customWidth="1"/>
    <col min="3" max="3" width="16.28515625" style="1" customWidth="1"/>
    <col min="4" max="4" width="12.42578125" style="1" customWidth="1"/>
    <col min="5" max="5" width="9.140625" style="1"/>
    <col min="6" max="6" width="16.28515625" style="1" customWidth="1"/>
    <col min="7" max="7" width="13.28515625" style="1" customWidth="1"/>
    <col min="8" max="8" width="9.140625" style="1"/>
    <col min="9" max="9" width="15.140625" style="1" customWidth="1"/>
    <col min="10" max="10" width="12.140625" style="1" bestFit="1" customWidth="1"/>
    <col min="11" max="11" width="16.140625" style="1" customWidth="1"/>
    <col min="12" max="14" width="9.140625" style="1"/>
    <col min="15" max="15" width="21.28515625" customWidth="1"/>
    <col min="16" max="16" width="16.5703125" customWidth="1"/>
    <col min="17" max="17" width="9.140625" style="1"/>
    <col min="18" max="18" width="6.42578125" style="1" customWidth="1"/>
    <col min="19" max="16384" width="9.140625" style="1"/>
  </cols>
  <sheetData>
    <row r="1" spans="2:18" ht="23.25" customHeight="1" thickBot="1" x14ac:dyDescent="0.3"/>
    <row r="2" spans="2:18" ht="32.25" customHeight="1" thickTop="1" thickBot="1" x14ac:dyDescent="0.3">
      <c r="B2" s="29" t="s">
        <v>20</v>
      </c>
      <c r="C2" s="30"/>
      <c r="D2" s="30"/>
      <c r="E2" s="30"/>
      <c r="F2" s="30"/>
      <c r="G2" s="30"/>
      <c r="H2" s="30"/>
      <c r="I2" s="30"/>
      <c r="J2" s="30"/>
      <c r="K2" s="31"/>
      <c r="Q2" s="11"/>
      <c r="R2" s="11"/>
    </row>
    <row r="3" spans="2:18" ht="28.5" customHeight="1" thickBot="1" x14ac:dyDescent="0.3">
      <c r="B3" s="2" t="s">
        <v>22</v>
      </c>
      <c r="C3" s="3"/>
      <c r="D3" s="12"/>
      <c r="E3" s="12"/>
      <c r="F3" s="12"/>
      <c r="G3" s="12"/>
      <c r="H3" s="12"/>
      <c r="I3" s="12"/>
      <c r="J3" s="12"/>
      <c r="K3" s="4"/>
      <c r="Q3" s="11"/>
      <c r="R3" s="11"/>
    </row>
    <row r="4" spans="2:18" x14ac:dyDescent="0.25">
      <c r="B4" s="5"/>
      <c r="C4" s="12"/>
      <c r="D4" s="12"/>
      <c r="E4" s="12"/>
      <c r="F4" s="12"/>
      <c r="G4" s="12"/>
      <c r="H4" s="12"/>
      <c r="I4" s="12"/>
      <c r="J4" s="12"/>
      <c r="K4" s="4"/>
      <c r="Q4" s="11"/>
      <c r="R4" s="11"/>
    </row>
    <row r="5" spans="2:18" x14ac:dyDescent="0.25">
      <c r="B5" s="5"/>
      <c r="C5" s="12"/>
      <c r="D5" s="12"/>
      <c r="E5" s="12"/>
      <c r="F5" s="12"/>
      <c r="G5" s="12"/>
      <c r="H5" s="12"/>
      <c r="I5" s="12"/>
      <c r="J5" s="12"/>
      <c r="K5" s="4"/>
      <c r="Q5" s="11"/>
      <c r="R5" s="11"/>
    </row>
    <row r="6" spans="2:18" x14ac:dyDescent="0.25">
      <c r="B6" s="5"/>
      <c r="C6" s="12"/>
      <c r="D6" s="12"/>
      <c r="E6" s="12"/>
      <c r="F6" s="12"/>
      <c r="G6" s="12"/>
      <c r="H6" s="12"/>
      <c r="I6" s="12"/>
      <c r="J6" s="12"/>
      <c r="K6" s="4"/>
      <c r="Q6" s="11"/>
      <c r="R6" s="11"/>
    </row>
    <row r="7" spans="2:18" x14ac:dyDescent="0.25">
      <c r="B7" s="5"/>
      <c r="C7" s="12"/>
      <c r="D7" s="12"/>
      <c r="E7" s="12"/>
      <c r="F7" s="12"/>
      <c r="G7" s="12"/>
      <c r="H7" s="12"/>
      <c r="I7" s="12"/>
      <c r="J7" s="12"/>
      <c r="K7" s="4"/>
      <c r="Q7" s="11"/>
      <c r="R7" s="11"/>
    </row>
    <row r="8" spans="2:18" x14ac:dyDescent="0.25">
      <c r="B8" s="5"/>
      <c r="C8" s="12"/>
      <c r="D8" s="12"/>
      <c r="E8" s="12"/>
      <c r="F8" s="12"/>
      <c r="G8" s="12"/>
      <c r="H8" s="12"/>
      <c r="I8" s="12"/>
      <c r="J8" s="12"/>
      <c r="K8" s="4"/>
      <c r="Q8" s="11"/>
      <c r="R8" s="11"/>
    </row>
    <row r="9" spans="2:18" ht="15.75" thickBot="1" x14ac:dyDescent="0.3">
      <c r="B9" s="5"/>
      <c r="C9" s="12"/>
      <c r="D9" s="12"/>
      <c r="E9" s="12"/>
      <c r="F9" s="12"/>
      <c r="G9" s="12"/>
      <c r="H9" s="12"/>
      <c r="I9" s="12"/>
      <c r="J9" s="12"/>
      <c r="K9" s="4"/>
      <c r="Q9" s="11"/>
      <c r="R9" s="11"/>
    </row>
    <row r="10" spans="2:18" ht="26.25" customHeight="1" thickTop="1" x14ac:dyDescent="0.25">
      <c r="B10" s="29" t="s">
        <v>21</v>
      </c>
      <c r="C10" s="30"/>
      <c r="D10" s="30"/>
      <c r="E10" s="30"/>
      <c r="F10" s="30"/>
      <c r="G10" s="30"/>
      <c r="H10" s="30"/>
      <c r="I10" s="30"/>
      <c r="J10" s="30"/>
      <c r="K10" s="31"/>
      <c r="Q10" s="11"/>
      <c r="R10" s="11"/>
    </row>
    <row r="11" spans="2:18" ht="15.75" thickBot="1" x14ac:dyDescent="0.3">
      <c r="B11" s="5"/>
      <c r="C11" s="12"/>
      <c r="D11" s="12"/>
      <c r="E11" s="12"/>
      <c r="F11" s="12"/>
      <c r="G11" s="12"/>
      <c r="H11" s="12"/>
      <c r="I11" s="12"/>
      <c r="J11" s="12"/>
      <c r="K11" s="4"/>
      <c r="Q11" s="11"/>
      <c r="R11" s="11"/>
    </row>
    <row r="12" spans="2:18" ht="15.75" thickTop="1" x14ac:dyDescent="0.25">
      <c r="B12" s="5"/>
      <c r="C12" s="13" t="s">
        <v>23</v>
      </c>
      <c r="D12" s="6" cm="1">
        <f t="array" ref="D12">_xlfn.IFS('Base de Dados'!D4 = "", 0, 'Base de Dados'!D4 = 1, 'Base de Dados'!C4 * D14, 'Base de Dados'!D4 = 2, 'Base de Dados'!C5 * D14, TRUE, 'Base de Dados'!C6 * D14)</f>
        <v>0</v>
      </c>
      <c r="E12" s="12"/>
      <c r="F12" s="13" t="s">
        <v>24</v>
      </c>
      <c r="G12" s="6" cm="1">
        <f t="array" ref="G12">IF('Base de Dados'!D9 = "", 0, INDEX('Base de Dados'!B9:C11, 'Base de Dados'!D9, 2) * G14)</f>
        <v>0</v>
      </c>
      <c r="H12" s="12"/>
      <c r="I12" s="13" t="s">
        <v>25</v>
      </c>
      <c r="J12" s="6">
        <f>SUMIF('Base de Dados'!D14:D19, "VERDADEIRO", 'Base de Dados'!C14:C19) * J14</f>
        <v>0</v>
      </c>
      <c r="K12" s="4"/>
      <c r="Q12" s="11"/>
      <c r="R12" s="11"/>
    </row>
    <row r="13" spans="2:18" ht="15.75" thickBot="1" x14ac:dyDescent="0.3">
      <c r="B13" s="5"/>
      <c r="C13" s="15"/>
      <c r="D13" s="12"/>
      <c r="E13" s="12"/>
      <c r="F13" s="12"/>
      <c r="G13" s="12"/>
      <c r="H13" s="12"/>
      <c r="I13" s="12"/>
      <c r="J13" s="12"/>
      <c r="K13" s="4"/>
      <c r="Q13" s="11"/>
      <c r="R13" s="11"/>
    </row>
    <row r="14" spans="2:18" ht="15.75" thickTop="1" x14ac:dyDescent="0.25">
      <c r="B14" s="5"/>
      <c r="C14" s="13" t="s">
        <v>34</v>
      </c>
      <c r="D14" s="17"/>
      <c r="E14" s="12"/>
      <c r="F14" s="13" t="s">
        <v>34</v>
      </c>
      <c r="G14" s="17"/>
      <c r="H14" s="12"/>
      <c r="I14" s="13" t="s">
        <v>34</v>
      </c>
      <c r="J14" s="17"/>
      <c r="K14" s="4"/>
      <c r="Q14" s="11"/>
      <c r="R14" s="11"/>
    </row>
    <row r="15" spans="2:18" x14ac:dyDescent="0.25">
      <c r="B15" s="5"/>
      <c r="C15" s="12"/>
      <c r="D15" s="12"/>
      <c r="E15" s="12"/>
      <c r="F15" s="12"/>
      <c r="G15" s="12"/>
      <c r="H15" s="12"/>
      <c r="I15" s="12"/>
      <c r="J15" s="12"/>
      <c r="K15" s="4"/>
      <c r="Q15" s="11"/>
      <c r="R15" s="11"/>
    </row>
    <row r="16" spans="2:18" x14ac:dyDescent="0.25">
      <c r="B16" s="5"/>
      <c r="C16" s="12"/>
      <c r="D16" s="12"/>
      <c r="E16" s="12"/>
      <c r="F16" s="12"/>
      <c r="G16" s="12"/>
      <c r="H16" s="12"/>
      <c r="I16" s="12"/>
      <c r="J16" s="12"/>
      <c r="K16" s="4"/>
      <c r="Q16" s="11"/>
      <c r="R16" s="11"/>
    </row>
    <row r="17" spans="2:14" ht="15.75" thickBot="1" x14ac:dyDescent="0.3">
      <c r="B17" s="5"/>
      <c r="C17" s="12"/>
      <c r="D17" s="12"/>
      <c r="E17" s="12"/>
      <c r="F17" s="12"/>
      <c r="G17" s="12"/>
      <c r="H17" s="12"/>
      <c r="I17" s="12"/>
      <c r="J17" s="12"/>
      <c r="K17" s="4"/>
    </row>
    <row r="18" spans="2:14" ht="15.75" thickTop="1" x14ac:dyDescent="0.25">
      <c r="B18" s="5"/>
      <c r="C18" s="12"/>
      <c r="D18" s="18">
        <f>IF('Base de Dados'!D23 = 1, SUM(Formulário!D12, Formulário!G12, Formulário!J12) * (1 - 10%), 0)</f>
        <v>0</v>
      </c>
      <c r="E18" s="12"/>
      <c r="F18" s="12"/>
      <c r="G18" s="19">
        <f>IF('Base de Dados'!D23 = 2, SUM(Formulário!D12, Formulário!G12, Formulário!J12), 0)</f>
        <v>0</v>
      </c>
      <c r="H18" s="12"/>
      <c r="I18" s="12"/>
      <c r="J18" s="12"/>
      <c r="K18" s="4"/>
    </row>
    <row r="19" spans="2:14" ht="15.75" thickBot="1" x14ac:dyDescent="0.3">
      <c r="B19" s="5"/>
      <c r="C19" s="12"/>
      <c r="D19" s="12"/>
      <c r="E19" s="12"/>
      <c r="F19" s="12"/>
      <c r="G19" s="12"/>
      <c r="H19" s="12"/>
      <c r="I19" s="12"/>
      <c r="J19" s="12"/>
      <c r="K19" s="4"/>
    </row>
    <row r="20" spans="2:14" ht="15.75" thickTop="1" x14ac:dyDescent="0.25">
      <c r="B20" s="5"/>
      <c r="C20" s="13" t="s">
        <v>26</v>
      </c>
      <c r="D20" s="19"/>
      <c r="E20" s="12"/>
      <c r="F20" s="13" t="s">
        <v>27</v>
      </c>
      <c r="G20" s="19">
        <f>IF('Base de Dados'!D23 = 2, Formulário!G18 - Formulário!D20, 0)</f>
        <v>0</v>
      </c>
      <c r="H20" s="12"/>
      <c r="I20" s="13" t="s">
        <v>28</v>
      </c>
      <c r="J20" s="17"/>
      <c r="K20" s="4"/>
    </row>
    <row r="21" spans="2:14" ht="15.75" thickBot="1" x14ac:dyDescent="0.3">
      <c r="B21" s="5"/>
      <c r="C21" s="12"/>
      <c r="D21" s="12"/>
      <c r="E21" s="12"/>
      <c r="F21" s="12"/>
      <c r="G21" s="12"/>
      <c r="H21" s="12"/>
      <c r="I21" s="12"/>
      <c r="J21" s="12"/>
      <c r="K21" s="4"/>
    </row>
    <row r="22" spans="2:14" ht="15.75" thickTop="1" x14ac:dyDescent="0.25">
      <c r="B22" s="5"/>
      <c r="C22" s="13" t="s">
        <v>29</v>
      </c>
      <c r="D22" s="19">
        <f>IFERROR(G20 / J20, 0)</f>
        <v>0</v>
      </c>
      <c r="E22" s="12"/>
      <c r="F22" s="13" t="s">
        <v>30</v>
      </c>
      <c r="G22" s="20" cm="1">
        <f t="array" ref="G22">_xlfn.IFS(OR(J20 = "", J20 = 1), 0, AND(J20 &gt; 1, J20 &lt;= 4), 1%, AND(J20 &gt; 4, J20 &lt;= 6), 2%, TRUE, 3%)</f>
        <v>0</v>
      </c>
      <c r="H22" s="12"/>
      <c r="I22" s="14" t="s">
        <v>31</v>
      </c>
      <c r="J22" s="19">
        <f>IFERROR(D22 + (D22 * G22), 0)</f>
        <v>0</v>
      </c>
      <c r="K22" s="4"/>
    </row>
    <row r="23" spans="2:14" ht="21.75" customHeight="1" thickBot="1" x14ac:dyDescent="0.3">
      <c r="B23" s="5"/>
      <c r="C23" s="12"/>
      <c r="D23" s="12"/>
      <c r="E23" s="12"/>
      <c r="F23" s="12"/>
      <c r="G23" s="12"/>
      <c r="H23" s="12"/>
      <c r="I23" s="12"/>
      <c r="J23" s="12"/>
      <c r="K23" s="4"/>
    </row>
    <row r="24" spans="2:14" ht="15.75" thickTop="1" x14ac:dyDescent="0.25">
      <c r="B24" s="5"/>
      <c r="C24" s="12"/>
      <c r="D24" s="12"/>
      <c r="E24" s="12"/>
      <c r="F24" s="13" t="s">
        <v>32</v>
      </c>
      <c r="G24" s="19">
        <f>IF('Base de Dados'!D23 = 1, Formulário!D18, PRODUCT(J22, J20))</f>
        <v>0</v>
      </c>
      <c r="H24" s="12"/>
      <c r="I24" s="12"/>
      <c r="J24" s="12"/>
      <c r="K24" s="4"/>
    </row>
    <row r="25" spans="2:14" x14ac:dyDescent="0.25">
      <c r="B25" s="5"/>
      <c r="C25" s="12"/>
      <c r="D25" s="12"/>
      <c r="E25" s="12"/>
      <c r="F25" s="12"/>
      <c r="G25" s="12"/>
      <c r="H25" s="12"/>
      <c r="I25" s="12"/>
      <c r="J25" s="12"/>
      <c r="K25" s="4"/>
      <c r="N25" s="10"/>
    </row>
    <row r="26" spans="2:14" ht="15.75" thickBot="1" x14ac:dyDescent="0.3">
      <c r="B26" s="7"/>
      <c r="C26" s="8"/>
      <c r="D26" s="8"/>
      <c r="E26" s="8"/>
      <c r="F26" s="8"/>
      <c r="G26" s="8"/>
      <c r="H26" s="8"/>
      <c r="I26" s="8"/>
      <c r="J26" s="8"/>
      <c r="K26" s="9"/>
    </row>
    <row r="27" spans="2:14" ht="15.75" thickTop="1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</row>
  </sheetData>
  <mergeCells count="2">
    <mergeCell ref="B2:K2"/>
    <mergeCell ref="B10:K10"/>
  </mergeCells>
  <dataValidations count="1">
    <dataValidation type="whole" allowBlank="1" showInputMessage="1" showErrorMessage="1" errorTitle="Atenção!" error="Parcelas de 2 até 10." sqref="J20" xr:uid="{9EBA9768-06BC-4906-A63C-F48E68D535A6}">
      <formula1>2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Group Box 1">
              <controlPr defaultSize="0" autoFill="0" autoPict="0" altText="Higiene Oral">
                <anchor moveWithCells="1">
                  <from>
                    <xdr:col>1</xdr:col>
                    <xdr:colOff>285750</xdr:colOff>
                    <xdr:row>3</xdr:row>
                    <xdr:rowOff>104775</xdr:rowOff>
                  </from>
                  <to>
                    <xdr:col>3</xdr:col>
                    <xdr:colOff>609600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Group Box 4">
              <controlPr defaultSize="0" autoFill="0" autoPict="0">
                <anchor moveWithCells="1">
                  <from>
                    <xdr:col>4</xdr:col>
                    <xdr:colOff>323850</xdr:colOff>
                    <xdr:row>3</xdr:row>
                    <xdr:rowOff>104775</xdr:rowOff>
                  </from>
                  <to>
                    <xdr:col>7</xdr:col>
                    <xdr:colOff>9525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Group Box 5">
              <controlPr defaultSize="0" autoFill="0" autoPict="0" altText="Produtos">
                <anchor moveWithCells="1">
                  <from>
                    <xdr:col>7</xdr:col>
                    <xdr:colOff>581025</xdr:colOff>
                    <xdr:row>3</xdr:row>
                    <xdr:rowOff>95250</xdr:rowOff>
                  </from>
                  <to>
                    <xdr:col>10</xdr:col>
                    <xdr:colOff>676275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Group Box 6">
              <controlPr defaultSize="0" autoFill="0" autoPict="0">
                <anchor moveWithCells="1">
                  <from>
                    <xdr:col>1</xdr:col>
                    <xdr:colOff>447675</xdr:colOff>
                    <xdr:row>15</xdr:row>
                    <xdr:rowOff>104775</xdr:rowOff>
                  </from>
                  <to>
                    <xdr:col>10</xdr:col>
                    <xdr:colOff>581025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Option Button 7">
              <controlPr defaultSize="0" autoFill="0" autoLine="0" autoPict="0" macro="[0]!À_Vista">
                <anchor moveWithCells="1">
                  <from>
                    <xdr:col>2</xdr:col>
                    <xdr:colOff>285750</xdr:colOff>
                    <xdr:row>17</xdr:row>
                    <xdr:rowOff>0</xdr:rowOff>
                  </from>
                  <to>
                    <xdr:col>2</xdr:col>
                    <xdr:colOff>885825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Option Button 8">
              <controlPr defaultSize="0" autoFill="0" autoLine="0" autoPict="0">
                <anchor moveWithCells="1">
                  <from>
                    <xdr:col>5</xdr:col>
                    <xdr:colOff>304800</xdr:colOff>
                    <xdr:row>16</xdr:row>
                    <xdr:rowOff>180975</xdr:rowOff>
                  </from>
                  <to>
                    <xdr:col>5</xdr:col>
                    <xdr:colOff>904875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Option Button 16">
              <controlPr defaultSize="0" autoFill="0" autoLine="0" autoPict="0">
                <anchor moveWithCells="1">
                  <from>
                    <xdr:col>1</xdr:col>
                    <xdr:colOff>552450</xdr:colOff>
                    <xdr:row>4</xdr:row>
                    <xdr:rowOff>66675</xdr:rowOff>
                  </from>
                  <to>
                    <xdr:col>2</xdr:col>
                    <xdr:colOff>952500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0" name="Option Button 17">
              <controlPr defaultSize="0" autoFill="0" autoLine="0" autoPict="0">
                <anchor moveWithCells="1">
                  <from>
                    <xdr:col>1</xdr:col>
                    <xdr:colOff>552450</xdr:colOff>
                    <xdr:row>5</xdr:row>
                    <xdr:rowOff>95250</xdr:rowOff>
                  </from>
                  <to>
                    <xdr:col>2</xdr:col>
                    <xdr:colOff>609600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1" name="Option Button 18">
              <controlPr defaultSize="0" autoFill="0" autoLine="0" autoPict="0">
                <anchor moveWithCells="1">
                  <from>
                    <xdr:col>1</xdr:col>
                    <xdr:colOff>552450</xdr:colOff>
                    <xdr:row>6</xdr:row>
                    <xdr:rowOff>133350</xdr:rowOff>
                  </from>
                  <to>
                    <xdr:col>2</xdr:col>
                    <xdr:colOff>609600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2" name="Option Button 19">
              <controlPr defaultSize="0" autoFill="0" autoLine="0" autoPict="0">
                <anchor moveWithCells="1">
                  <from>
                    <xdr:col>5</xdr:col>
                    <xdr:colOff>47625</xdr:colOff>
                    <xdr:row>4</xdr:row>
                    <xdr:rowOff>38100</xdr:rowOff>
                  </from>
                  <to>
                    <xdr:col>6</xdr:col>
                    <xdr:colOff>400050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3" name="Option Button 20">
              <controlPr defaultSize="0" autoFill="0" autoLine="0" autoPict="0">
                <anchor moveWithCells="1">
                  <from>
                    <xdr:col>5</xdr:col>
                    <xdr:colOff>47625</xdr:colOff>
                    <xdr:row>5</xdr:row>
                    <xdr:rowOff>95250</xdr:rowOff>
                  </from>
                  <to>
                    <xdr:col>5</xdr:col>
                    <xdr:colOff>962025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4" name="Option Button 21">
              <controlPr defaultSize="0" autoFill="0" autoLine="0" autoPict="0">
                <anchor moveWithCells="1">
                  <from>
                    <xdr:col>5</xdr:col>
                    <xdr:colOff>47625</xdr:colOff>
                    <xdr:row>6</xdr:row>
                    <xdr:rowOff>180975</xdr:rowOff>
                  </from>
                  <to>
                    <xdr:col>6</xdr:col>
                    <xdr:colOff>57150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5" name="Check Box 23">
              <controlPr defaultSize="0" autoFill="0" autoLine="0" autoPict="0">
                <anchor moveWithCells="1">
                  <from>
                    <xdr:col>8</xdr:col>
                    <xdr:colOff>76200</xdr:colOff>
                    <xdr:row>3</xdr:row>
                    <xdr:rowOff>180975</xdr:rowOff>
                  </from>
                  <to>
                    <xdr:col>9</xdr:col>
                    <xdr:colOff>152400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6" name="Check Box 24">
              <controlPr defaultSize="0" autoFill="0" autoLine="0" autoPict="0">
                <anchor moveWithCells="1">
                  <from>
                    <xdr:col>8</xdr:col>
                    <xdr:colOff>76200</xdr:colOff>
                    <xdr:row>5</xdr:row>
                    <xdr:rowOff>47625</xdr:rowOff>
                  </from>
                  <to>
                    <xdr:col>9</xdr:col>
                    <xdr:colOff>152400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heck Box 25">
              <controlPr defaultSize="0" autoFill="0" autoLine="0" autoPict="0">
                <anchor moveWithCells="1">
                  <from>
                    <xdr:col>9</xdr:col>
                    <xdr:colOff>200025</xdr:colOff>
                    <xdr:row>3</xdr:row>
                    <xdr:rowOff>180975</xdr:rowOff>
                  </from>
                  <to>
                    <xdr:col>10</xdr:col>
                    <xdr:colOff>600075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heck Box 26">
              <controlPr defaultSize="0" autoFill="0" autoLine="0" autoPict="0">
                <anchor moveWithCells="1">
                  <from>
                    <xdr:col>8</xdr:col>
                    <xdr:colOff>76200</xdr:colOff>
                    <xdr:row>6</xdr:row>
                    <xdr:rowOff>85725</xdr:rowOff>
                  </from>
                  <to>
                    <xdr:col>9</xdr:col>
                    <xdr:colOff>152400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heck Box 27">
              <controlPr defaultSize="0" autoFill="0" autoLine="0" autoPict="0">
                <anchor moveWithCells="1">
                  <from>
                    <xdr:col>9</xdr:col>
                    <xdr:colOff>200025</xdr:colOff>
                    <xdr:row>5</xdr:row>
                    <xdr:rowOff>47625</xdr:rowOff>
                  </from>
                  <to>
                    <xdr:col>10</xdr:col>
                    <xdr:colOff>600075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eck Box 28">
              <controlPr defaultSize="0" autoFill="0" autoLine="0" autoPict="0">
                <anchor moveWithCells="1">
                  <from>
                    <xdr:col>9</xdr:col>
                    <xdr:colOff>200025</xdr:colOff>
                    <xdr:row>6</xdr:row>
                    <xdr:rowOff>85725</xdr:rowOff>
                  </from>
                  <to>
                    <xdr:col>10</xdr:col>
                    <xdr:colOff>600075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1" name="Spinner 30">
              <controlPr defaultSize="0" autoPict="0">
                <anchor moveWithCells="1" sizeWithCells="1">
                  <from>
                    <xdr:col>4</xdr:col>
                    <xdr:colOff>85725</xdr:colOff>
                    <xdr:row>12</xdr:row>
                    <xdr:rowOff>190500</xdr:rowOff>
                  </from>
                  <to>
                    <xdr:col>4</xdr:col>
                    <xdr:colOff>352425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2" name="Spinner 31">
              <controlPr defaultSize="0" autoPict="0">
                <anchor moveWithCells="1" sizeWithCells="1">
                  <from>
                    <xdr:col>10</xdr:col>
                    <xdr:colOff>95250</xdr:colOff>
                    <xdr:row>12</xdr:row>
                    <xdr:rowOff>171450</xdr:rowOff>
                  </from>
                  <to>
                    <xdr:col>10</xdr:col>
                    <xdr:colOff>361950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3" name="Spinner 32">
              <controlPr defaultSize="0" autoPict="0">
                <anchor moveWithCells="1" sizeWithCells="1">
                  <from>
                    <xdr:col>7</xdr:col>
                    <xdr:colOff>85725</xdr:colOff>
                    <xdr:row>12</xdr:row>
                    <xdr:rowOff>180975</xdr:rowOff>
                  </from>
                  <to>
                    <xdr:col>7</xdr:col>
                    <xdr:colOff>352425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Cliente não cadastrado" xr:uid="{CAB56D69-69BD-4009-80B8-A46CE7AA151F}">
          <x14:formula1>
            <xm:f>'Base de Dados'!$M$4:$M$32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F71DF-E348-4926-9A96-10DE278E43F0}">
  <sheetPr codeName="Planilha2"/>
  <dimension ref="A1:M32"/>
  <sheetViews>
    <sheetView showGridLines="0" workbookViewId="0">
      <selection activeCell="D23" activeCellId="3" sqref="D4:D6 D9:D11 D14:D19 D23"/>
    </sheetView>
  </sheetViews>
  <sheetFormatPr defaultRowHeight="15" x14ac:dyDescent="0.25"/>
  <cols>
    <col min="1" max="1" width="6.28515625" style="1" customWidth="1"/>
    <col min="2" max="2" width="37" style="1" customWidth="1"/>
    <col min="3" max="3" width="13.140625" style="1" customWidth="1"/>
    <col min="4" max="4" width="23.85546875" style="1" customWidth="1"/>
    <col min="5" max="5" width="15" style="1" customWidth="1"/>
    <col min="6" max="6" width="21.140625" style="1" customWidth="1"/>
    <col min="7" max="12" width="9.140625" style="1"/>
    <col min="13" max="13" width="16.7109375" style="1" bestFit="1" customWidth="1"/>
    <col min="14" max="16384" width="9.140625" style="1"/>
  </cols>
  <sheetData>
    <row r="1" spans="1:13" s="28" customFormat="1" ht="30.75" customHeight="1" x14ac:dyDescent="0.25">
      <c r="A1" s="32" t="s">
        <v>41</v>
      </c>
      <c r="B1" s="32"/>
      <c r="C1" s="32"/>
      <c r="D1" s="27"/>
      <c r="E1" s="27"/>
      <c r="F1" s="27"/>
      <c r="G1" s="27"/>
      <c r="H1" s="27"/>
      <c r="I1" s="27"/>
      <c r="J1" s="27"/>
      <c r="K1" s="27"/>
      <c r="L1" s="27"/>
      <c r="M1" s="27"/>
    </row>
    <row r="3" spans="1:13" ht="15.75" x14ac:dyDescent="0.25">
      <c r="B3" s="10" t="s">
        <v>9</v>
      </c>
      <c r="C3" s="10" t="s">
        <v>36</v>
      </c>
      <c r="D3" s="10" t="s">
        <v>0</v>
      </c>
      <c r="M3" s="24" t="s">
        <v>66</v>
      </c>
    </row>
    <row r="4" spans="1:13" x14ac:dyDescent="0.25">
      <c r="B4" s="1" t="s">
        <v>10</v>
      </c>
      <c r="C4" s="22">
        <v>10.25</v>
      </c>
      <c r="D4" s="10"/>
      <c r="M4" s="23" t="s">
        <v>1</v>
      </c>
    </row>
    <row r="5" spans="1:13" x14ac:dyDescent="0.25">
      <c r="B5" s="1" t="s">
        <v>11</v>
      </c>
      <c r="C5" s="22">
        <v>8</v>
      </c>
      <c r="D5" s="10"/>
      <c r="M5" s="23" t="s">
        <v>2</v>
      </c>
    </row>
    <row r="6" spans="1:13" x14ac:dyDescent="0.25">
      <c r="B6" s="1" t="s">
        <v>19</v>
      </c>
      <c r="C6" s="22">
        <v>6</v>
      </c>
      <c r="D6" s="10"/>
      <c r="M6" s="23" t="s">
        <v>3</v>
      </c>
    </row>
    <row r="7" spans="1:13" x14ac:dyDescent="0.25">
      <c r="C7" s="10"/>
      <c r="D7" s="10"/>
      <c r="M7" s="23" t="s">
        <v>4</v>
      </c>
    </row>
    <row r="8" spans="1:13" x14ac:dyDescent="0.25">
      <c r="B8" s="10" t="s">
        <v>42</v>
      </c>
      <c r="C8" s="10" t="s">
        <v>36</v>
      </c>
      <c r="D8" s="10" t="s">
        <v>0</v>
      </c>
      <c r="M8" s="23" t="s">
        <v>5</v>
      </c>
    </row>
    <row r="9" spans="1:13" x14ac:dyDescent="0.25">
      <c r="B9" s="1" t="s">
        <v>43</v>
      </c>
      <c r="C9" s="22">
        <v>4.5</v>
      </c>
      <c r="D9" s="10"/>
      <c r="M9" s="23" t="s">
        <v>39</v>
      </c>
    </row>
    <row r="10" spans="1:13" x14ac:dyDescent="0.25">
      <c r="B10" s="1" t="s">
        <v>44</v>
      </c>
      <c r="C10" s="22">
        <v>53.29</v>
      </c>
      <c r="D10" s="10"/>
      <c r="M10" s="23" t="s">
        <v>6</v>
      </c>
    </row>
    <row r="11" spans="1:13" x14ac:dyDescent="0.25">
      <c r="B11" s="1" t="s">
        <v>45</v>
      </c>
      <c r="C11" s="22">
        <v>16</v>
      </c>
      <c r="D11" s="10"/>
      <c r="M11" s="23" t="s">
        <v>7</v>
      </c>
    </row>
    <row r="12" spans="1:13" x14ac:dyDescent="0.25">
      <c r="C12" s="10"/>
      <c r="D12" s="10"/>
      <c r="M12" s="23" t="s">
        <v>8</v>
      </c>
    </row>
    <row r="13" spans="1:13" x14ac:dyDescent="0.25">
      <c r="B13" s="10" t="s">
        <v>12</v>
      </c>
      <c r="C13" s="10" t="s">
        <v>36</v>
      </c>
      <c r="D13" s="10" t="s">
        <v>0</v>
      </c>
      <c r="M13" s="23" t="s">
        <v>46</v>
      </c>
    </row>
    <row r="14" spans="1:13" x14ac:dyDescent="0.25">
      <c r="B14" s="1" t="s">
        <v>13</v>
      </c>
      <c r="C14" s="22">
        <v>4.63</v>
      </c>
      <c r="D14" s="10"/>
      <c r="M14" s="23" t="s">
        <v>47</v>
      </c>
    </row>
    <row r="15" spans="1:13" x14ac:dyDescent="0.25">
      <c r="B15" s="1" t="s">
        <v>14</v>
      </c>
      <c r="C15" s="22">
        <v>2.4900000000000002</v>
      </c>
      <c r="D15" s="10"/>
      <c r="M15" s="23" t="s">
        <v>48</v>
      </c>
    </row>
    <row r="16" spans="1:13" x14ac:dyDescent="0.25">
      <c r="B16" s="1" t="s">
        <v>15</v>
      </c>
      <c r="C16" s="22">
        <v>3.94</v>
      </c>
      <c r="D16" s="10"/>
      <c r="M16" s="23" t="s">
        <v>49</v>
      </c>
    </row>
    <row r="17" spans="2:13" x14ac:dyDescent="0.25">
      <c r="B17" s="1" t="s">
        <v>16</v>
      </c>
      <c r="C17" s="22">
        <v>4.99</v>
      </c>
      <c r="D17" s="10"/>
      <c r="M17" s="23" t="s">
        <v>50</v>
      </c>
    </row>
    <row r="18" spans="2:13" x14ac:dyDescent="0.25">
      <c r="B18" s="1" t="s">
        <v>17</v>
      </c>
      <c r="C18" s="22">
        <v>79.989999999999995</v>
      </c>
      <c r="D18" s="10"/>
      <c r="M18" s="23" t="s">
        <v>51</v>
      </c>
    </row>
    <row r="19" spans="2:13" x14ac:dyDescent="0.25">
      <c r="B19" s="1" t="s">
        <v>18</v>
      </c>
      <c r="C19" s="22">
        <v>29.9</v>
      </c>
      <c r="D19" s="10"/>
      <c r="M19" s="23" t="s">
        <v>52</v>
      </c>
    </row>
    <row r="20" spans="2:13" x14ac:dyDescent="0.25">
      <c r="M20" s="23" t="s">
        <v>53</v>
      </c>
    </row>
    <row r="21" spans="2:13" x14ac:dyDescent="0.25">
      <c r="M21" s="23" t="s">
        <v>54</v>
      </c>
    </row>
    <row r="22" spans="2:13" ht="15.75" thickBot="1" x14ac:dyDescent="0.3">
      <c r="M22" s="23" t="s">
        <v>55</v>
      </c>
    </row>
    <row r="23" spans="2:13" ht="15.75" thickBot="1" x14ac:dyDescent="0.3">
      <c r="B23" s="21" t="s">
        <v>33</v>
      </c>
      <c r="C23" s="21" t="s">
        <v>35</v>
      </c>
      <c r="D23" s="21"/>
      <c r="M23" s="23" t="s">
        <v>56</v>
      </c>
    </row>
    <row r="24" spans="2:13" x14ac:dyDescent="0.25">
      <c r="M24" s="23" t="s">
        <v>57</v>
      </c>
    </row>
    <row r="25" spans="2:13" x14ac:dyDescent="0.25">
      <c r="M25" s="23" t="s">
        <v>58</v>
      </c>
    </row>
    <row r="26" spans="2:13" x14ac:dyDescent="0.25">
      <c r="M26" s="23" t="s">
        <v>59</v>
      </c>
    </row>
    <row r="27" spans="2:13" x14ac:dyDescent="0.25">
      <c r="M27" s="23" t="s">
        <v>60</v>
      </c>
    </row>
    <row r="28" spans="2:13" x14ac:dyDescent="0.25">
      <c r="M28" s="23" t="s">
        <v>61</v>
      </c>
    </row>
    <row r="29" spans="2:13" x14ac:dyDescent="0.25">
      <c r="M29" s="23" t="s">
        <v>62</v>
      </c>
    </row>
    <row r="30" spans="2:13" x14ac:dyDescent="0.25">
      <c r="M30" s="23" t="s">
        <v>63</v>
      </c>
    </row>
    <row r="31" spans="2:13" x14ac:dyDescent="0.25">
      <c r="M31" s="23" t="s">
        <v>64</v>
      </c>
    </row>
    <row r="32" spans="2:13" x14ac:dyDescent="0.25">
      <c r="M32" s="23" t="s">
        <v>65</v>
      </c>
    </row>
  </sheetData>
  <mergeCells count="1">
    <mergeCell ref="A1:C1"/>
  </mergeCells>
  <pageMargins left="0.511811024" right="0.511811024" top="0.78740157499999996" bottom="0.78740157499999996" header="0.31496062000000002" footer="0.31496062000000002"/>
  <drawing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52297-D916-429A-82E6-9BD38C729108}">
  <sheetPr codeName="Planilha3"/>
  <dimension ref="A1:M9"/>
  <sheetViews>
    <sheetView showGridLines="0" workbookViewId="0">
      <selection activeCell="B5" sqref="B5"/>
    </sheetView>
  </sheetViews>
  <sheetFormatPr defaultRowHeight="15" x14ac:dyDescent="0.25"/>
  <cols>
    <col min="1" max="1" width="4" style="1" customWidth="1"/>
    <col min="2" max="9" width="17" style="1" customWidth="1"/>
    <col min="10" max="10" width="19.5703125" style="1" customWidth="1"/>
    <col min="11" max="11" width="17" style="1" customWidth="1"/>
    <col min="12" max="12" width="19.140625" style="1" customWidth="1"/>
    <col min="13" max="13" width="17" style="1" customWidth="1"/>
    <col min="14" max="16384" width="9.140625" style="1"/>
  </cols>
  <sheetData>
    <row r="1" spans="1:13" s="28" customFormat="1" ht="30.75" customHeight="1" x14ac:dyDescent="0.25">
      <c r="A1" s="32" t="s">
        <v>20</v>
      </c>
      <c r="B1" s="32"/>
      <c r="C1" s="32"/>
      <c r="D1" s="32"/>
      <c r="E1" s="27"/>
      <c r="F1" s="27"/>
      <c r="G1" s="27"/>
      <c r="H1" s="27"/>
      <c r="I1" s="27"/>
      <c r="J1" s="27"/>
      <c r="K1" s="27"/>
      <c r="L1" s="27"/>
      <c r="M1" s="27"/>
    </row>
    <row r="2" spans="1:13" ht="22.5" customHeight="1" x14ac:dyDescent="0.25"/>
    <row r="3" spans="1:13" x14ac:dyDescent="0.25">
      <c r="B3" s="10" t="s">
        <v>37</v>
      </c>
      <c r="C3" s="10" t="s">
        <v>23</v>
      </c>
      <c r="D3" s="10" t="s">
        <v>24</v>
      </c>
      <c r="E3" s="10" t="s">
        <v>25</v>
      </c>
      <c r="F3" s="10" t="s">
        <v>33</v>
      </c>
      <c r="G3" s="10" t="s">
        <v>35</v>
      </c>
      <c r="H3" s="10" t="s">
        <v>26</v>
      </c>
      <c r="I3" s="10" t="s">
        <v>27</v>
      </c>
      <c r="J3" s="10" t="s">
        <v>40</v>
      </c>
      <c r="K3" s="10" t="s">
        <v>30</v>
      </c>
      <c r="L3" s="10" t="s">
        <v>38</v>
      </c>
      <c r="M3" s="10" t="s">
        <v>32</v>
      </c>
    </row>
    <row r="4" spans="1:13" hidden="1" x14ac:dyDescent="0.25">
      <c r="B4" s="10">
        <f>Formulário!$C$3</f>
        <v>0</v>
      </c>
      <c r="C4" s="25">
        <f>Formulário!$D$12</f>
        <v>0</v>
      </c>
      <c r="D4" s="25">
        <f>Formulário!$G$12</f>
        <v>0</v>
      </c>
      <c r="E4" s="25">
        <f>Formulário!$J$12</f>
        <v>0</v>
      </c>
      <c r="F4" s="25">
        <f>Formulário!$D$18</f>
        <v>0</v>
      </c>
      <c r="G4" s="25">
        <f>Formulário!$G$18</f>
        <v>0</v>
      </c>
      <c r="H4" s="25">
        <f>Formulário!$D$20</f>
        <v>0</v>
      </c>
      <c r="I4" s="25">
        <f>Formulário!$G$20</f>
        <v>0</v>
      </c>
      <c r="J4" s="10">
        <f>Formulário!$J$20</f>
        <v>0</v>
      </c>
      <c r="K4" s="26">
        <f>Formulário!$G$22</f>
        <v>0</v>
      </c>
      <c r="L4" s="25">
        <f>Formulário!$J$22</f>
        <v>0</v>
      </c>
      <c r="M4" s="25">
        <f>Formulário!$G$24</f>
        <v>0</v>
      </c>
    </row>
    <row r="5" spans="1:13" x14ac:dyDescent="0.25">
      <c r="B5" s="10" t="s">
        <v>60</v>
      </c>
      <c r="C5" s="25">
        <v>0</v>
      </c>
      <c r="D5" s="25">
        <v>426.32</v>
      </c>
      <c r="E5" s="25">
        <v>0</v>
      </c>
      <c r="F5" s="25">
        <v>0</v>
      </c>
      <c r="G5" s="25">
        <v>426.32</v>
      </c>
      <c r="H5" s="25">
        <v>50</v>
      </c>
      <c r="I5" s="25">
        <v>376.32</v>
      </c>
      <c r="J5" s="10">
        <v>5</v>
      </c>
      <c r="K5" s="26">
        <v>0.02</v>
      </c>
      <c r="L5" s="25">
        <v>76.769279999999995</v>
      </c>
      <c r="M5" s="25">
        <v>383.84639999999996</v>
      </c>
    </row>
    <row r="6" spans="1:13" x14ac:dyDescent="0.25">
      <c r="B6" s="10" t="s">
        <v>51</v>
      </c>
      <c r="C6" s="25">
        <v>8</v>
      </c>
      <c r="D6" s="25">
        <v>22.5</v>
      </c>
      <c r="E6" s="25">
        <v>19.29</v>
      </c>
      <c r="F6" s="25">
        <v>0</v>
      </c>
      <c r="G6" s="25">
        <v>49.79</v>
      </c>
      <c r="H6" s="25">
        <v>15</v>
      </c>
      <c r="I6" s="25">
        <v>34.79</v>
      </c>
      <c r="J6" s="10">
        <v>2</v>
      </c>
      <c r="K6" s="26">
        <v>0.01</v>
      </c>
      <c r="L6" s="25">
        <v>17.568950000000001</v>
      </c>
      <c r="M6" s="25">
        <v>35.137900000000002</v>
      </c>
    </row>
    <row r="7" spans="1:13" x14ac:dyDescent="0.25">
      <c r="B7" s="10" t="s">
        <v>49</v>
      </c>
      <c r="C7" s="25">
        <v>10.25</v>
      </c>
      <c r="D7" s="25">
        <v>80</v>
      </c>
      <c r="E7" s="25">
        <v>111.05999999999999</v>
      </c>
      <c r="F7" s="25">
        <v>181.179</v>
      </c>
      <c r="G7" s="25">
        <v>0</v>
      </c>
      <c r="H7" s="25">
        <v>0</v>
      </c>
      <c r="I7" s="25">
        <v>0</v>
      </c>
      <c r="J7" s="10">
        <v>0</v>
      </c>
      <c r="K7" s="26">
        <v>0</v>
      </c>
      <c r="L7" s="25">
        <v>0</v>
      </c>
      <c r="M7" s="25">
        <v>181.179</v>
      </c>
    </row>
    <row r="8" spans="1:13" x14ac:dyDescent="0.25">
      <c r="B8" s="10" t="s">
        <v>58</v>
      </c>
      <c r="C8" s="25">
        <v>6</v>
      </c>
      <c r="D8" s="25">
        <v>13.5</v>
      </c>
      <c r="E8" s="25">
        <v>149.5</v>
      </c>
      <c r="F8" s="25">
        <v>0</v>
      </c>
      <c r="G8" s="25">
        <v>169</v>
      </c>
      <c r="H8" s="25">
        <v>50</v>
      </c>
      <c r="I8" s="25">
        <v>119</v>
      </c>
      <c r="J8" s="10">
        <v>3</v>
      </c>
      <c r="K8" s="26">
        <v>0.01</v>
      </c>
      <c r="L8" s="25">
        <v>40.063333333333333</v>
      </c>
      <c r="M8" s="25">
        <v>120.19</v>
      </c>
    </row>
    <row r="9" spans="1:13" x14ac:dyDescent="0.25">
      <c r="B9" s="10" t="s">
        <v>65</v>
      </c>
      <c r="C9" s="25">
        <v>0</v>
      </c>
      <c r="D9" s="25">
        <v>32</v>
      </c>
      <c r="E9" s="25">
        <v>0</v>
      </c>
      <c r="F9" s="25">
        <v>28.8</v>
      </c>
      <c r="G9" s="25">
        <v>0</v>
      </c>
      <c r="H9" s="25">
        <v>0</v>
      </c>
      <c r="I9" s="25">
        <v>0</v>
      </c>
      <c r="J9" s="10">
        <v>0</v>
      </c>
      <c r="K9" s="26">
        <v>0</v>
      </c>
      <c r="L9" s="25">
        <v>0</v>
      </c>
      <c r="M9" s="25">
        <v>28.8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Formulário</vt:lpstr>
      <vt:lpstr>Base de Dados</vt:lpstr>
      <vt:lpstr>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Instrutor Frederico</dc:creator>
  <cp:lastModifiedBy>Marcos Junior</cp:lastModifiedBy>
  <dcterms:created xsi:type="dcterms:W3CDTF">2020-10-24T01:51:56Z</dcterms:created>
  <dcterms:modified xsi:type="dcterms:W3CDTF">2026-06-05T14:18:54Z</dcterms:modified>
</cp:coreProperties>
</file>